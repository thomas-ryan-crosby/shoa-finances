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\Downloads\"/>
    </mc:Choice>
  </mc:AlternateContent>
  <xr:revisionPtr revIDLastSave="0" documentId="8_{A8828730-B207-4608-8A5C-5C1A9CB484B4}" xr6:coauthVersionLast="47" xr6:coauthVersionMax="47" xr10:uidLastSave="{00000000-0000-0000-0000-000000000000}"/>
  <bookViews>
    <workbookView xWindow="5124" yWindow="3552" windowWidth="17280" windowHeight="10680" xr2:uid="{8EAC12AD-E819-4CEA-B1DE-9D92605FA823}"/>
  </bookViews>
  <sheets>
    <sheet name="Sheet1" sheetId="1" r:id="rId1"/>
  </sheets>
  <definedNames>
    <definedName name="_xlnm.Print_Titles" localSheetId="0">Sheet1!$A:$D,Sheet1!$1:$1</definedName>
    <definedName name="QBCANSUPPORTUPDATE" localSheetId="0">FALSE</definedName>
    <definedName name="QBCOMPANYFILENAME" localSheetId="0">"C:\Users\Public\Documents\Intuit\QuickBooks\Company Files\Sanctuary HOA.qbw"</definedName>
    <definedName name="QBENDDATE" localSheetId="0">20241231</definedName>
    <definedName name="QBHEADERSONSCREEN" localSheetId="0">FALSE</definedName>
    <definedName name="QBMETADATASIZE" localSheetId="0">0</definedName>
    <definedName name="QBPRESERVECOLOR" localSheetId="0">TRUE</definedName>
    <definedName name="QBPRESERVEFONT" localSheetId="0">TRUE</definedName>
    <definedName name="QBPRESERVEROWHEIGHT" localSheetId="0">TRUE</definedName>
    <definedName name="QBPRESERVESPACE" localSheetId="0">TRUE</definedName>
    <definedName name="QBREPORTCOLAXIS" localSheetId="0">0</definedName>
    <definedName name="QBREPORTCOMPANYID" localSheetId="0">"c798a55863684e308d4e2151eb25ab98"</definedName>
    <definedName name="QBREPORTCOMPARECOL_ANNUALBUDGET" localSheetId="0">FALSE</definedName>
    <definedName name="QBREPORTCOMPARECOL_AVGCOGS" localSheetId="0">FALSE</definedName>
    <definedName name="QBREPORTCOMPARECOL_AVGPRICE" localSheetId="0">FALSE</definedName>
    <definedName name="QBREPORTCOMPARECOL_BUDDIFF" localSheetId="0">FALSE</definedName>
    <definedName name="QBREPORTCOMPARECOL_BUDGET" localSheetId="0">FALSE</definedName>
    <definedName name="QBREPORTCOMPARECOL_BUDPCT" localSheetId="0">FALSE</definedName>
    <definedName name="QBREPORTCOMPARECOL_COGS" localSheetId="0">FALSE</definedName>
    <definedName name="QBREPORTCOMPARECOL_EXCLUDEAMOUNT" localSheetId="0">FALSE</definedName>
    <definedName name="QBREPORTCOMPARECOL_EXCLUDECURPERIOD" localSheetId="0">FALSE</definedName>
    <definedName name="QBREPORTCOMPARECOL_FORECAST" localSheetId="0">FALSE</definedName>
    <definedName name="QBREPORTCOMPARECOL_GROSSMARGIN" localSheetId="0">FALSE</definedName>
    <definedName name="QBREPORTCOMPARECOL_GROSSMARGINPCT" localSheetId="0">FALSE</definedName>
    <definedName name="QBREPORTCOMPARECOL_HOURS" localSheetId="0">FALSE</definedName>
    <definedName name="QBREPORTCOMPARECOL_PCTCOL" localSheetId="0">FALSE</definedName>
    <definedName name="QBREPORTCOMPARECOL_PCTEXPENSE" localSheetId="0">FALSE</definedName>
    <definedName name="QBREPORTCOMPARECOL_PCTINCOME" localSheetId="0">FALSE</definedName>
    <definedName name="QBREPORTCOMPARECOL_PCTOFSALES" localSheetId="0">FALSE</definedName>
    <definedName name="QBREPORTCOMPARECOL_PCTROW" localSheetId="0">FALSE</definedName>
    <definedName name="QBREPORTCOMPARECOL_PPDIFF" localSheetId="0">FALSE</definedName>
    <definedName name="QBREPORTCOMPARECOL_PPPCT" localSheetId="0">FALSE</definedName>
    <definedName name="QBREPORTCOMPARECOL_PREVPERIOD" localSheetId="0">FALSE</definedName>
    <definedName name="QBREPORTCOMPARECOL_PREVYEAR" localSheetId="0">FALSE</definedName>
    <definedName name="QBREPORTCOMPARECOL_PYDIFF" localSheetId="0">FALSE</definedName>
    <definedName name="QBREPORTCOMPARECOL_PYPCT" localSheetId="0">FALSE</definedName>
    <definedName name="QBREPORTCOMPARECOL_QTY" localSheetId="0">FALSE</definedName>
    <definedName name="QBREPORTCOMPARECOL_RATE" localSheetId="0">FALSE</definedName>
    <definedName name="QBREPORTCOMPARECOL_TRIPBILLEDMILES" localSheetId="0">FALSE</definedName>
    <definedName name="QBREPORTCOMPARECOL_TRIPBILLINGAMOUNT" localSheetId="0">FALSE</definedName>
    <definedName name="QBREPORTCOMPARECOL_TRIPMILES" localSheetId="0">FALSE</definedName>
    <definedName name="QBREPORTCOMPARECOL_TRIPNOTBILLABLEMILES" localSheetId="0">FALSE</definedName>
    <definedName name="QBREPORTCOMPARECOL_TRIPTAXDEDUCTIBLEAMOUNT" localSheetId="0">FALSE</definedName>
    <definedName name="QBREPORTCOMPARECOL_TRIPUNBILLEDMILES" localSheetId="0">FALSE</definedName>
    <definedName name="QBREPORTCOMPARECOL_YTD" localSheetId="0">FALSE</definedName>
    <definedName name="QBREPORTCOMPARECOL_YTDBUDGET" localSheetId="0">FALSE</definedName>
    <definedName name="QBREPORTCOMPARECOL_YTDPCT" localSheetId="0">FALSE</definedName>
    <definedName name="QBREPORTROWAXIS" localSheetId="0">11</definedName>
    <definedName name="QBREPORTSUBCOLAXIS" localSheetId="0">0</definedName>
    <definedName name="QBREPORTTYPE" localSheetId="0">0</definedName>
    <definedName name="QBROWHEADERS" localSheetId="0">4</definedName>
    <definedName name="QBSTARTDATE" localSheetId="0">20240101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1" i="1" l="1"/>
  <c r="E80" i="1"/>
  <c r="E79" i="1"/>
  <c r="E72" i="1"/>
  <c r="E69" i="1"/>
  <c r="E64" i="1"/>
  <c r="E57" i="1"/>
  <c r="E49" i="1"/>
  <c r="E42" i="1"/>
  <c r="E30" i="1"/>
  <c r="E26" i="1"/>
  <c r="E9" i="1"/>
</calcChain>
</file>

<file path=xl/sharedStrings.xml><?xml version="1.0" encoding="utf-8"?>
<sst xmlns="http://schemas.openxmlformats.org/spreadsheetml/2006/main" count="81" uniqueCount="81">
  <si>
    <t>Jan - Dec 24</t>
  </si>
  <si>
    <t>Income</t>
  </si>
  <si>
    <t>Annual Dues Income</t>
  </si>
  <si>
    <t>Clubhouse Rental</t>
  </si>
  <si>
    <t>Entry Card Fees</t>
  </si>
  <si>
    <t>Interest Income</t>
  </si>
  <si>
    <t>Late Fees</t>
  </si>
  <si>
    <t>Miscellaneous Income</t>
  </si>
  <si>
    <t>Total Income</t>
  </si>
  <si>
    <t>Expense</t>
  </si>
  <si>
    <t>Clubhouse upgrades</t>
  </si>
  <si>
    <t>Operating Expenses</t>
  </si>
  <si>
    <t>Accounting &amp; Software</t>
  </si>
  <si>
    <t>Bank Service Charges</t>
  </si>
  <si>
    <t>Decorations</t>
  </si>
  <si>
    <t>Guard Service</t>
  </si>
  <si>
    <t>Insurance</t>
  </si>
  <si>
    <t>Legal Fees</t>
  </si>
  <si>
    <t>Licenses and Permits</t>
  </si>
  <si>
    <t>Lifeguards</t>
  </si>
  <si>
    <t>Management Expenses</t>
  </si>
  <si>
    <t>Office Supplies</t>
  </si>
  <si>
    <t>Printing, Postage and Delivery</t>
  </si>
  <si>
    <t>Social Functions</t>
  </si>
  <si>
    <t>Website</t>
  </si>
  <si>
    <t>Total Operating Expenses</t>
  </si>
  <si>
    <t>Amenities Maintenance</t>
  </si>
  <si>
    <t>Crystal Lake</t>
  </si>
  <si>
    <t>Nature Trail</t>
  </si>
  <si>
    <t>Total Amenities Maintenance</t>
  </si>
  <si>
    <t>Clubhouse Maintenance</t>
  </si>
  <si>
    <t>Ballfield</t>
  </si>
  <si>
    <t>Exercise Equipment</t>
  </si>
  <si>
    <t>Furniture (Pool)</t>
  </si>
  <si>
    <t>Janitorial Expenses</t>
  </si>
  <si>
    <t>Party Cleaning</t>
  </si>
  <si>
    <t>Playground Equipment</t>
  </si>
  <si>
    <t>Repairs &amp; Maintenance</t>
  </si>
  <si>
    <t>Swimming Pool</t>
  </si>
  <si>
    <t>Tennis Courts</t>
  </si>
  <si>
    <t>Termite Treatment/Pest Control</t>
  </si>
  <si>
    <t>Total Clubhouse Maintenance</t>
  </si>
  <si>
    <t>Common Area Maintenance</t>
  </si>
  <si>
    <t>Fence Repair</t>
  </si>
  <si>
    <t>Fountain Maintenance</t>
  </si>
  <si>
    <t>Lighting</t>
  </si>
  <si>
    <t>Sign Repairs</t>
  </si>
  <si>
    <t>Wildlife Management</t>
  </si>
  <si>
    <t>Total Common Area Maintenance</t>
  </si>
  <si>
    <t>Grounds &amp; Landscape Maintenance</t>
  </si>
  <si>
    <t>Grass Cutting &amp; Landscaping</t>
  </si>
  <si>
    <t>Landscape Upgrades &amp; Flowers</t>
  </si>
  <si>
    <t>Powerline Grass Cutting</t>
  </si>
  <si>
    <t>Storm Cleanup</t>
  </si>
  <si>
    <t>Tree Removal</t>
  </si>
  <si>
    <t>Undeveloped Lot Cutting</t>
  </si>
  <si>
    <t>Total Grounds &amp; Landscape Maintenance</t>
  </si>
  <si>
    <t>Security</t>
  </si>
  <si>
    <t>Cameras</t>
  </si>
  <si>
    <t>Entry Cards/Remotes</t>
  </si>
  <si>
    <t>Gate Maintenance &amp; Repair</t>
  </si>
  <si>
    <t>Guardhouse Maintenance</t>
  </si>
  <si>
    <t>Parade Security (Lights)</t>
  </si>
  <si>
    <t>Total Security</t>
  </si>
  <si>
    <t>Streets &amp; Drainage</t>
  </si>
  <si>
    <t>Brick Headwalls</t>
  </si>
  <si>
    <t>Street Maintenance</t>
  </si>
  <si>
    <t>Drainage Repairs</t>
  </si>
  <si>
    <t>Total Streets &amp; Drainage</t>
  </si>
  <si>
    <t>Taxes</t>
  </si>
  <si>
    <t>Property</t>
  </si>
  <si>
    <t>Total Taxes</t>
  </si>
  <si>
    <t>Utilities</t>
  </si>
  <si>
    <t>Charter Communications</t>
  </si>
  <si>
    <t>Electric</t>
  </si>
  <si>
    <t>Gas</t>
  </si>
  <si>
    <t>Telephone</t>
  </si>
  <si>
    <t>Water</t>
  </si>
  <si>
    <t>Total Utilities</t>
  </si>
  <si>
    <t>Total Expense</t>
  </si>
  <si>
    <t>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</si>
</sst>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-#,##0.00"/>
  </numFmts>
  <fonts count="3" x14ac:knownFonts="1">
    <font>
      <sz val="11"/>
      <color theme="1"/>
      <name val="Aptos Narrow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0" xfId="0" applyNumberFormat="1" applyFont="1"/>
    <xf numFmtId="164" fontId="2" fillId="0" borderId="0" xfId="0" applyNumberFormat="1" applyFont="1"/>
    <xf numFmtId="164" fontId="2" fillId="0" borderId="2" xfId="0" applyNumberFormat="1" applyFont="1" applyBorder="1"/>
    <xf numFmtId="164" fontId="2" fillId="0" borderId="3" xfId="0" applyNumberFormat="1" applyFont="1" applyBorder="1"/>
    <xf numFmtId="164" fontId="1" fillId="0" borderId="4" xfId="0" applyNumberFormat="1" applyFont="1" applyBorder="1"/>
    <xf numFmtId="0" fontId="1" fillId="0" borderId="0" xfId="0" applyFont="1"/>
    <xf numFmtId="49" fontId="1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7786B-58F1-4E67-9DF1-8918CF2E01C1}">
  <dimension ref="A1:E82"/>
  <sheetViews>
    <sheetView tabSelected="1" workbookViewId="0">
      <pane xSplit="4" ySplit="1" topLeftCell="E2" activePane="bottomRight" state="frozenSplit"/>
      <selection pane="topRight" activeCell="E1" sqref="E1"/>
      <selection pane="bottomLeft" activeCell="A2" sqref="A2"/>
      <selection pane="bottomRight"/>
    </sheetView>
  </sheetViews>
  <sheetFormatPr defaultRowHeight="14.4" x14ac:dyDescent="0.3"/>
  <cols>
    <col min="1" max="3" width="3" style="6" customWidth="1"/>
    <col min="4" max="4" width="31.6640625" style="6" customWidth="1"/>
    <col min="5" max="5" width="10.109375" bestFit="1" customWidth="1"/>
  </cols>
  <sheetData>
    <row r="1" spans="1:5" s="9" customFormat="1" ht="15" thickBot="1" x14ac:dyDescent="0.35">
      <c r="A1" s="7"/>
      <c r="B1" s="7"/>
      <c r="C1" s="7"/>
      <c r="D1" s="7"/>
      <c r="E1" s="8" t="s">
        <v>0</v>
      </c>
    </row>
    <row r="2" spans="1:5" ht="15" thickTop="1" x14ac:dyDescent="0.3">
      <c r="A2" s="1"/>
      <c r="B2" s="1" t="s">
        <v>1</v>
      </c>
      <c r="C2" s="1"/>
      <c r="D2" s="1"/>
      <c r="E2" s="2"/>
    </row>
    <row r="3" spans="1:5" x14ac:dyDescent="0.3">
      <c r="A3" s="1"/>
      <c r="B3" s="1"/>
      <c r="C3" s="1" t="s">
        <v>2</v>
      </c>
      <c r="D3" s="1"/>
      <c r="E3" s="2">
        <v>636737.72</v>
      </c>
    </row>
    <row r="4" spans="1:5" x14ac:dyDescent="0.3">
      <c r="A4" s="1"/>
      <c r="B4" s="1"/>
      <c r="C4" s="1" t="s">
        <v>3</v>
      </c>
      <c r="D4" s="1"/>
      <c r="E4" s="2">
        <v>5547.07</v>
      </c>
    </row>
    <row r="5" spans="1:5" x14ac:dyDescent="0.3">
      <c r="A5" s="1"/>
      <c r="B5" s="1"/>
      <c r="C5" s="1" t="s">
        <v>4</v>
      </c>
      <c r="D5" s="1"/>
      <c r="E5" s="2">
        <v>6514.08</v>
      </c>
    </row>
    <row r="6" spans="1:5" x14ac:dyDescent="0.3">
      <c r="A6" s="1"/>
      <c r="B6" s="1"/>
      <c r="C6" s="1" t="s">
        <v>5</v>
      </c>
      <c r="D6" s="1"/>
      <c r="E6" s="2">
        <v>39307.519999999997</v>
      </c>
    </row>
    <row r="7" spans="1:5" x14ac:dyDescent="0.3">
      <c r="A7" s="1"/>
      <c r="B7" s="1"/>
      <c r="C7" s="1" t="s">
        <v>6</v>
      </c>
      <c r="D7" s="1"/>
      <c r="E7" s="2">
        <v>200</v>
      </c>
    </row>
    <row r="8" spans="1:5" ht="15" thickBot="1" x14ac:dyDescent="0.35">
      <c r="A8" s="1"/>
      <c r="B8" s="1"/>
      <c r="C8" s="1" t="s">
        <v>7</v>
      </c>
      <c r="D8" s="1"/>
      <c r="E8" s="3">
        <v>0</v>
      </c>
    </row>
    <row r="9" spans="1:5" x14ac:dyDescent="0.3">
      <c r="A9" s="1"/>
      <c r="B9" s="1" t="s">
        <v>8</v>
      </c>
      <c r="C9" s="1"/>
      <c r="D9" s="1"/>
      <c r="E9" s="2">
        <f>ROUND(SUM(E2:E8),5)</f>
        <v>688306.39</v>
      </c>
    </row>
    <row r="10" spans="1:5" x14ac:dyDescent="0.3">
      <c r="A10" s="1"/>
      <c r="B10" s="1" t="s">
        <v>9</v>
      </c>
      <c r="C10" s="1"/>
      <c r="D10" s="1"/>
      <c r="E10" s="2"/>
    </row>
    <row r="11" spans="1:5" x14ac:dyDescent="0.3">
      <c r="A11" s="1"/>
      <c r="B11" s="1"/>
      <c r="C11" s="1" t="s">
        <v>10</v>
      </c>
      <c r="D11" s="1"/>
      <c r="E11" s="2">
        <v>23586.74</v>
      </c>
    </row>
    <row r="12" spans="1:5" x14ac:dyDescent="0.3">
      <c r="A12" s="1"/>
      <c r="B12" s="1"/>
      <c r="C12" s="1" t="s">
        <v>11</v>
      </c>
      <c r="D12" s="1"/>
      <c r="E12" s="2"/>
    </row>
    <row r="13" spans="1:5" x14ac:dyDescent="0.3">
      <c r="A13" s="1"/>
      <c r="B13" s="1"/>
      <c r="C13" s="1"/>
      <c r="D13" s="1" t="s">
        <v>12</v>
      </c>
      <c r="E13" s="2">
        <v>2340</v>
      </c>
    </row>
    <row r="14" spans="1:5" x14ac:dyDescent="0.3">
      <c r="A14" s="1"/>
      <c r="B14" s="1"/>
      <c r="C14" s="1"/>
      <c r="D14" s="1" t="s">
        <v>13</v>
      </c>
      <c r="E14" s="2">
        <v>149.49</v>
      </c>
    </row>
    <row r="15" spans="1:5" x14ac:dyDescent="0.3">
      <c r="A15" s="1"/>
      <c r="B15" s="1"/>
      <c r="C15" s="1"/>
      <c r="D15" s="1" t="s">
        <v>14</v>
      </c>
      <c r="E15" s="2">
        <v>1500</v>
      </c>
    </row>
    <row r="16" spans="1:5" x14ac:dyDescent="0.3">
      <c r="A16" s="1"/>
      <c r="B16" s="1"/>
      <c r="C16" s="1"/>
      <c r="D16" s="1" t="s">
        <v>15</v>
      </c>
      <c r="E16" s="2">
        <v>193402</v>
      </c>
    </row>
    <row r="17" spans="1:5" x14ac:dyDescent="0.3">
      <c r="A17" s="1"/>
      <c r="B17" s="1"/>
      <c r="C17" s="1"/>
      <c r="D17" s="1" t="s">
        <v>16</v>
      </c>
      <c r="E17" s="2">
        <v>19079.349999999999</v>
      </c>
    </row>
    <row r="18" spans="1:5" x14ac:dyDescent="0.3">
      <c r="A18" s="1"/>
      <c r="B18" s="1"/>
      <c r="C18" s="1"/>
      <c r="D18" s="1" t="s">
        <v>17</v>
      </c>
      <c r="E18" s="2">
        <v>296.5</v>
      </c>
    </row>
    <row r="19" spans="1:5" x14ac:dyDescent="0.3">
      <c r="A19" s="1"/>
      <c r="B19" s="1"/>
      <c r="C19" s="1"/>
      <c r="D19" s="1" t="s">
        <v>18</v>
      </c>
      <c r="E19" s="2">
        <v>30</v>
      </c>
    </row>
    <row r="20" spans="1:5" x14ac:dyDescent="0.3">
      <c r="A20" s="1"/>
      <c r="B20" s="1"/>
      <c r="C20" s="1"/>
      <c r="D20" s="1" t="s">
        <v>19</v>
      </c>
      <c r="E20" s="2">
        <v>2001.44</v>
      </c>
    </row>
    <row r="21" spans="1:5" x14ac:dyDescent="0.3">
      <c r="A21" s="1"/>
      <c r="B21" s="1"/>
      <c r="C21" s="1"/>
      <c r="D21" s="1" t="s">
        <v>20</v>
      </c>
      <c r="E21" s="2">
        <v>72100</v>
      </c>
    </row>
    <row r="22" spans="1:5" x14ac:dyDescent="0.3">
      <c r="A22" s="1"/>
      <c r="B22" s="1"/>
      <c r="C22" s="1"/>
      <c r="D22" s="1" t="s">
        <v>21</v>
      </c>
      <c r="E22" s="2">
        <v>482.91</v>
      </c>
    </row>
    <row r="23" spans="1:5" x14ac:dyDescent="0.3">
      <c r="A23" s="1"/>
      <c r="B23" s="1"/>
      <c r="C23" s="1"/>
      <c r="D23" s="1" t="s">
        <v>22</v>
      </c>
      <c r="E23" s="2">
        <v>91.3</v>
      </c>
    </row>
    <row r="24" spans="1:5" x14ac:dyDescent="0.3">
      <c r="A24" s="1"/>
      <c r="B24" s="1"/>
      <c r="C24" s="1"/>
      <c r="D24" s="1" t="s">
        <v>23</v>
      </c>
      <c r="E24" s="2">
        <v>18466.39</v>
      </c>
    </row>
    <row r="25" spans="1:5" ht="15" thickBot="1" x14ac:dyDescent="0.35">
      <c r="A25" s="1"/>
      <c r="B25" s="1"/>
      <c r="C25" s="1"/>
      <c r="D25" s="1" t="s">
        <v>24</v>
      </c>
      <c r="E25" s="3">
        <v>564.70000000000005</v>
      </c>
    </row>
    <row r="26" spans="1:5" x14ac:dyDescent="0.3">
      <c r="A26" s="1"/>
      <c r="B26" s="1"/>
      <c r="C26" s="1" t="s">
        <v>25</v>
      </c>
      <c r="D26" s="1"/>
      <c r="E26" s="2">
        <f>ROUND(SUM(E12:E25),5)</f>
        <v>310504.08</v>
      </c>
    </row>
    <row r="27" spans="1:5" x14ac:dyDescent="0.3">
      <c r="A27" s="1"/>
      <c r="B27" s="1"/>
      <c r="C27" s="1" t="s">
        <v>26</v>
      </c>
      <c r="D27" s="1"/>
      <c r="E27" s="2"/>
    </row>
    <row r="28" spans="1:5" x14ac:dyDescent="0.3">
      <c r="A28" s="1"/>
      <c r="B28" s="1"/>
      <c r="C28" s="1"/>
      <c r="D28" s="1" t="s">
        <v>27</v>
      </c>
      <c r="E28" s="2">
        <v>16943.939999999999</v>
      </c>
    </row>
    <row r="29" spans="1:5" ht="15" thickBot="1" x14ac:dyDescent="0.35">
      <c r="A29" s="1"/>
      <c r="B29" s="1"/>
      <c r="C29" s="1"/>
      <c r="D29" s="1" t="s">
        <v>28</v>
      </c>
      <c r="E29" s="3">
        <v>7180.33</v>
      </c>
    </row>
    <row r="30" spans="1:5" x14ac:dyDescent="0.3">
      <c r="A30" s="1"/>
      <c r="B30" s="1"/>
      <c r="C30" s="1" t="s">
        <v>29</v>
      </c>
      <c r="D30" s="1"/>
      <c r="E30" s="2">
        <f>ROUND(SUM(E27:E29),5)</f>
        <v>24124.27</v>
      </c>
    </row>
    <row r="31" spans="1:5" x14ac:dyDescent="0.3">
      <c r="A31" s="1"/>
      <c r="B31" s="1"/>
      <c r="C31" s="1" t="s">
        <v>30</v>
      </c>
      <c r="D31" s="1"/>
      <c r="E31" s="2"/>
    </row>
    <row r="32" spans="1:5" x14ac:dyDescent="0.3">
      <c r="A32" s="1"/>
      <c r="B32" s="1"/>
      <c r="C32" s="1"/>
      <c r="D32" s="1" t="s">
        <v>31</v>
      </c>
      <c r="E32" s="2">
        <v>20366.57</v>
      </c>
    </row>
    <row r="33" spans="1:5" x14ac:dyDescent="0.3">
      <c r="A33" s="1"/>
      <c r="B33" s="1"/>
      <c r="C33" s="1"/>
      <c r="D33" s="1" t="s">
        <v>32</v>
      </c>
      <c r="E33" s="2">
        <v>5517.07</v>
      </c>
    </row>
    <row r="34" spans="1:5" x14ac:dyDescent="0.3">
      <c r="A34" s="1"/>
      <c r="B34" s="1"/>
      <c r="C34" s="1"/>
      <c r="D34" s="1" t="s">
        <v>33</v>
      </c>
      <c r="E34" s="2">
        <v>675</v>
      </c>
    </row>
    <row r="35" spans="1:5" x14ac:dyDescent="0.3">
      <c r="A35" s="1"/>
      <c r="B35" s="1"/>
      <c r="C35" s="1"/>
      <c r="D35" s="1" t="s">
        <v>34</v>
      </c>
      <c r="E35" s="2">
        <v>12387.04</v>
      </c>
    </row>
    <row r="36" spans="1:5" x14ac:dyDescent="0.3">
      <c r="A36" s="1"/>
      <c r="B36" s="1"/>
      <c r="C36" s="1"/>
      <c r="D36" s="1" t="s">
        <v>35</v>
      </c>
      <c r="E36" s="2">
        <v>5150</v>
      </c>
    </row>
    <row r="37" spans="1:5" x14ac:dyDescent="0.3">
      <c r="A37" s="1"/>
      <c r="B37" s="1"/>
      <c r="C37" s="1"/>
      <c r="D37" s="1" t="s">
        <v>36</v>
      </c>
      <c r="E37" s="2">
        <v>34390.31</v>
      </c>
    </row>
    <row r="38" spans="1:5" x14ac:dyDescent="0.3">
      <c r="A38" s="1"/>
      <c r="B38" s="1"/>
      <c r="C38" s="1"/>
      <c r="D38" s="1" t="s">
        <v>37</v>
      </c>
      <c r="E38" s="2">
        <v>62408.68</v>
      </c>
    </row>
    <row r="39" spans="1:5" x14ac:dyDescent="0.3">
      <c r="A39" s="1"/>
      <c r="B39" s="1"/>
      <c r="C39" s="1"/>
      <c r="D39" s="1" t="s">
        <v>38</v>
      </c>
      <c r="E39" s="2">
        <v>15237.76</v>
      </c>
    </row>
    <row r="40" spans="1:5" x14ac:dyDescent="0.3">
      <c r="A40" s="1"/>
      <c r="B40" s="1"/>
      <c r="C40" s="1"/>
      <c r="D40" s="1" t="s">
        <v>39</v>
      </c>
      <c r="E40" s="2">
        <v>39416.339999999997</v>
      </c>
    </row>
    <row r="41" spans="1:5" ht="15" thickBot="1" x14ac:dyDescent="0.35">
      <c r="A41" s="1"/>
      <c r="B41" s="1"/>
      <c r="C41" s="1"/>
      <c r="D41" s="1" t="s">
        <v>40</v>
      </c>
      <c r="E41" s="3">
        <v>492</v>
      </c>
    </row>
    <row r="42" spans="1:5" x14ac:dyDescent="0.3">
      <c r="A42" s="1"/>
      <c r="B42" s="1"/>
      <c r="C42" s="1" t="s">
        <v>41</v>
      </c>
      <c r="D42" s="1"/>
      <c r="E42" s="2">
        <f>ROUND(SUM(E31:E41),5)</f>
        <v>196040.77</v>
      </c>
    </row>
    <row r="43" spans="1:5" x14ac:dyDescent="0.3">
      <c r="A43" s="1"/>
      <c r="B43" s="1"/>
      <c r="C43" s="1" t="s">
        <v>42</v>
      </c>
      <c r="D43" s="1"/>
      <c r="E43" s="2"/>
    </row>
    <row r="44" spans="1:5" x14ac:dyDescent="0.3">
      <c r="A44" s="1"/>
      <c r="B44" s="1"/>
      <c r="C44" s="1"/>
      <c r="D44" s="1" t="s">
        <v>43</v>
      </c>
      <c r="E44" s="2">
        <v>550</v>
      </c>
    </row>
    <row r="45" spans="1:5" x14ac:dyDescent="0.3">
      <c r="A45" s="1"/>
      <c r="B45" s="1"/>
      <c r="C45" s="1"/>
      <c r="D45" s="1" t="s">
        <v>44</v>
      </c>
      <c r="E45" s="2">
        <v>350</v>
      </c>
    </row>
    <row r="46" spans="1:5" x14ac:dyDescent="0.3">
      <c r="A46" s="1"/>
      <c r="B46" s="1"/>
      <c r="C46" s="1"/>
      <c r="D46" s="1" t="s">
        <v>45</v>
      </c>
      <c r="E46" s="2">
        <v>4519.5</v>
      </c>
    </row>
    <row r="47" spans="1:5" x14ac:dyDescent="0.3">
      <c r="A47" s="1"/>
      <c r="B47" s="1"/>
      <c r="C47" s="1"/>
      <c r="D47" s="1" t="s">
        <v>46</v>
      </c>
      <c r="E47" s="2">
        <v>6958.39</v>
      </c>
    </row>
    <row r="48" spans="1:5" ht="15" thickBot="1" x14ac:dyDescent="0.35">
      <c r="A48" s="1"/>
      <c r="B48" s="1"/>
      <c r="C48" s="1"/>
      <c r="D48" s="1" t="s">
        <v>47</v>
      </c>
      <c r="E48" s="3">
        <v>3555</v>
      </c>
    </row>
    <row r="49" spans="1:5" x14ac:dyDescent="0.3">
      <c r="A49" s="1"/>
      <c r="B49" s="1"/>
      <c r="C49" s="1" t="s">
        <v>48</v>
      </c>
      <c r="D49" s="1"/>
      <c r="E49" s="2">
        <f>ROUND(SUM(E43:E48),5)</f>
        <v>15932.89</v>
      </c>
    </row>
    <row r="50" spans="1:5" x14ac:dyDescent="0.3">
      <c r="A50" s="1"/>
      <c r="B50" s="1"/>
      <c r="C50" s="1" t="s">
        <v>49</v>
      </c>
      <c r="D50" s="1"/>
      <c r="E50" s="2"/>
    </row>
    <row r="51" spans="1:5" x14ac:dyDescent="0.3">
      <c r="A51" s="1"/>
      <c r="B51" s="1"/>
      <c r="C51" s="1"/>
      <c r="D51" s="1" t="s">
        <v>50</v>
      </c>
      <c r="E51" s="2">
        <v>55015.040000000001</v>
      </c>
    </row>
    <row r="52" spans="1:5" x14ac:dyDescent="0.3">
      <c r="A52" s="1"/>
      <c r="B52" s="1"/>
      <c r="C52" s="1"/>
      <c r="D52" s="1" t="s">
        <v>51</v>
      </c>
      <c r="E52" s="2">
        <v>88345</v>
      </c>
    </row>
    <row r="53" spans="1:5" x14ac:dyDescent="0.3">
      <c r="A53" s="1"/>
      <c r="B53" s="1"/>
      <c r="C53" s="1"/>
      <c r="D53" s="1" t="s">
        <v>52</v>
      </c>
      <c r="E53" s="2">
        <v>7200</v>
      </c>
    </row>
    <row r="54" spans="1:5" x14ac:dyDescent="0.3">
      <c r="A54" s="1"/>
      <c r="B54" s="1"/>
      <c r="C54" s="1"/>
      <c r="D54" s="1" t="s">
        <v>53</v>
      </c>
      <c r="E54" s="2">
        <v>5285</v>
      </c>
    </row>
    <row r="55" spans="1:5" x14ac:dyDescent="0.3">
      <c r="A55" s="1"/>
      <c r="B55" s="1"/>
      <c r="C55" s="1"/>
      <c r="D55" s="1" t="s">
        <v>54</v>
      </c>
      <c r="E55" s="2">
        <v>18200</v>
      </c>
    </row>
    <row r="56" spans="1:5" ht="15" thickBot="1" x14ac:dyDescent="0.35">
      <c r="A56" s="1"/>
      <c r="B56" s="1"/>
      <c r="C56" s="1"/>
      <c r="D56" s="1" t="s">
        <v>55</v>
      </c>
      <c r="E56" s="3">
        <v>14516.66</v>
      </c>
    </row>
    <row r="57" spans="1:5" x14ac:dyDescent="0.3">
      <c r="A57" s="1"/>
      <c r="B57" s="1"/>
      <c r="C57" s="1" t="s">
        <v>56</v>
      </c>
      <c r="D57" s="1"/>
      <c r="E57" s="2">
        <f>ROUND(SUM(E50:E56),5)</f>
        <v>188561.7</v>
      </c>
    </row>
    <row r="58" spans="1:5" x14ac:dyDescent="0.3">
      <c r="A58" s="1"/>
      <c r="B58" s="1"/>
      <c r="C58" s="1" t="s">
        <v>57</v>
      </c>
      <c r="D58" s="1"/>
      <c r="E58" s="2"/>
    </row>
    <row r="59" spans="1:5" x14ac:dyDescent="0.3">
      <c r="A59" s="1"/>
      <c r="B59" s="1"/>
      <c r="C59" s="1"/>
      <c r="D59" s="1" t="s">
        <v>58</v>
      </c>
      <c r="E59" s="2">
        <v>5415.52</v>
      </c>
    </row>
    <row r="60" spans="1:5" x14ac:dyDescent="0.3">
      <c r="A60" s="1"/>
      <c r="B60" s="1"/>
      <c r="C60" s="1"/>
      <c r="D60" s="1" t="s">
        <v>59</v>
      </c>
      <c r="E60" s="2">
        <v>21548.240000000002</v>
      </c>
    </row>
    <row r="61" spans="1:5" x14ac:dyDescent="0.3">
      <c r="A61" s="1"/>
      <c r="B61" s="1"/>
      <c r="C61" s="1"/>
      <c r="D61" s="1" t="s">
        <v>60</v>
      </c>
      <c r="E61" s="2">
        <v>90733.41</v>
      </c>
    </row>
    <row r="62" spans="1:5" x14ac:dyDescent="0.3">
      <c r="A62" s="1"/>
      <c r="B62" s="1"/>
      <c r="C62" s="1"/>
      <c r="D62" s="1" t="s">
        <v>61</v>
      </c>
      <c r="E62" s="2">
        <v>33433.96</v>
      </c>
    </row>
    <row r="63" spans="1:5" ht="15" thickBot="1" x14ac:dyDescent="0.35">
      <c r="A63" s="1"/>
      <c r="B63" s="1"/>
      <c r="C63" s="1"/>
      <c r="D63" s="1" t="s">
        <v>62</v>
      </c>
      <c r="E63" s="3">
        <v>1328</v>
      </c>
    </row>
    <row r="64" spans="1:5" x14ac:dyDescent="0.3">
      <c r="A64" s="1"/>
      <c r="B64" s="1"/>
      <c r="C64" s="1" t="s">
        <v>63</v>
      </c>
      <c r="D64" s="1"/>
      <c r="E64" s="2">
        <f>ROUND(SUM(E58:E63),5)</f>
        <v>152459.13</v>
      </c>
    </row>
    <row r="65" spans="1:5" x14ac:dyDescent="0.3">
      <c r="A65" s="1"/>
      <c r="B65" s="1"/>
      <c r="C65" s="1" t="s">
        <v>64</v>
      </c>
      <c r="D65" s="1"/>
      <c r="E65" s="2"/>
    </row>
    <row r="66" spans="1:5" x14ac:dyDescent="0.3">
      <c r="A66" s="1"/>
      <c r="B66" s="1"/>
      <c r="C66" s="1"/>
      <c r="D66" s="1" t="s">
        <v>65</v>
      </c>
      <c r="E66" s="2">
        <v>1850.4</v>
      </c>
    </row>
    <row r="67" spans="1:5" x14ac:dyDescent="0.3">
      <c r="A67" s="1"/>
      <c r="B67" s="1"/>
      <c r="C67" s="1"/>
      <c r="D67" s="1" t="s">
        <v>66</v>
      </c>
      <c r="E67" s="2">
        <v>4321.6400000000003</v>
      </c>
    </row>
    <row r="68" spans="1:5" ht="15" thickBot="1" x14ac:dyDescent="0.35">
      <c r="A68" s="1"/>
      <c r="B68" s="1"/>
      <c r="C68" s="1"/>
      <c r="D68" s="1" t="s">
        <v>67</v>
      </c>
      <c r="E68" s="3">
        <v>400</v>
      </c>
    </row>
    <row r="69" spans="1:5" x14ac:dyDescent="0.3">
      <c r="A69" s="1"/>
      <c r="B69" s="1"/>
      <c r="C69" s="1" t="s">
        <v>68</v>
      </c>
      <c r="D69" s="1"/>
      <c r="E69" s="2">
        <f>ROUND(SUM(E65:E68),5)</f>
        <v>6572.04</v>
      </c>
    </row>
    <row r="70" spans="1:5" x14ac:dyDescent="0.3">
      <c r="A70" s="1"/>
      <c r="B70" s="1"/>
      <c r="C70" s="1" t="s">
        <v>69</v>
      </c>
      <c r="D70" s="1"/>
      <c r="E70" s="2"/>
    </row>
    <row r="71" spans="1:5" ht="15" thickBot="1" x14ac:dyDescent="0.35">
      <c r="A71" s="1"/>
      <c r="B71" s="1"/>
      <c r="C71" s="1"/>
      <c r="D71" s="1" t="s">
        <v>70</v>
      </c>
      <c r="E71" s="3">
        <v>86.12</v>
      </c>
    </row>
    <row r="72" spans="1:5" x14ac:dyDescent="0.3">
      <c r="A72" s="1"/>
      <c r="B72" s="1"/>
      <c r="C72" s="1" t="s">
        <v>71</v>
      </c>
      <c r="D72" s="1"/>
      <c r="E72" s="2">
        <f>ROUND(SUM(E70:E71),5)</f>
        <v>86.12</v>
      </c>
    </row>
    <row r="73" spans="1:5" x14ac:dyDescent="0.3">
      <c r="A73" s="1"/>
      <c r="B73" s="1"/>
      <c r="C73" s="1" t="s">
        <v>72</v>
      </c>
      <c r="D73" s="1"/>
      <c r="E73" s="2"/>
    </row>
    <row r="74" spans="1:5" x14ac:dyDescent="0.3">
      <c r="A74" s="1"/>
      <c r="B74" s="1"/>
      <c r="C74" s="1"/>
      <c r="D74" s="1" t="s">
        <v>73</v>
      </c>
      <c r="E74" s="2">
        <v>2875.99</v>
      </c>
    </row>
    <row r="75" spans="1:5" x14ac:dyDescent="0.3">
      <c r="A75" s="1"/>
      <c r="B75" s="1"/>
      <c r="C75" s="1"/>
      <c r="D75" s="1" t="s">
        <v>74</v>
      </c>
      <c r="E75" s="2">
        <v>16376.34</v>
      </c>
    </row>
    <row r="76" spans="1:5" x14ac:dyDescent="0.3">
      <c r="A76" s="1"/>
      <c r="B76" s="1"/>
      <c r="C76" s="1"/>
      <c r="D76" s="1" t="s">
        <v>75</v>
      </c>
      <c r="E76" s="2">
        <v>416.5</v>
      </c>
    </row>
    <row r="77" spans="1:5" x14ac:dyDescent="0.3">
      <c r="A77" s="1"/>
      <c r="B77" s="1"/>
      <c r="C77" s="1"/>
      <c r="D77" s="1" t="s">
        <v>76</v>
      </c>
      <c r="E77" s="2">
        <v>2777.36</v>
      </c>
    </row>
    <row r="78" spans="1:5" ht="15" thickBot="1" x14ac:dyDescent="0.35">
      <c r="A78" s="1"/>
      <c r="B78" s="1"/>
      <c r="C78" s="1"/>
      <c r="D78" s="1" t="s">
        <v>77</v>
      </c>
      <c r="E78" s="2">
        <v>2994.79</v>
      </c>
    </row>
    <row r="79" spans="1:5" ht="15" thickBot="1" x14ac:dyDescent="0.35">
      <c r="A79" s="1"/>
      <c r="B79" s="1"/>
      <c r="C79" s="1" t="s">
        <v>78</v>
      </c>
      <c r="D79" s="1"/>
      <c r="E79" s="4">
        <f>ROUND(SUM(E73:E78),5)</f>
        <v>25440.98</v>
      </c>
    </row>
    <row r="80" spans="1:5" ht="15" thickBot="1" x14ac:dyDescent="0.35">
      <c r="A80" s="1"/>
      <c r="B80" s="1" t="s">
        <v>79</v>
      </c>
      <c r="C80" s="1"/>
      <c r="D80" s="1"/>
      <c r="E80" s="4">
        <f>ROUND(SUM(E10:E11)+E26+E30+E42+E49+E57+E64+E69+E72+E79,5)</f>
        <v>943308.72</v>
      </c>
    </row>
    <row r="81" spans="1:5" s="6" customFormat="1" ht="10.8" thickBot="1" x14ac:dyDescent="0.25">
      <c r="A81" s="1" t="s">
        <v>80</v>
      </c>
      <c r="B81" s="1"/>
      <c r="C81" s="1"/>
      <c r="D81" s="1"/>
      <c r="E81" s="5">
        <f>ROUND(E9-E80,5)</f>
        <v>-255002.33</v>
      </c>
    </row>
    <row r="82" spans="1:5" ht="15" thickTop="1" x14ac:dyDescent="0.3"/>
  </sheetData>
  <pageMargins left="0.7" right="0.7" top="0.75" bottom="0.75" header="0.1" footer="0.3"/>
  <pageSetup orientation="portrait" r:id="rId1"/>
  <headerFooter>
    <oddHeader>&amp;L&amp;"Arial,Bold"&amp;8 8:52 AM
&amp;"Arial,Bold"&amp;8 01/07/26
&amp;"Arial,Bold"&amp;8 Cash Basis&amp;C&amp;"Arial,Bold"&amp;12 Sanctuary Home Owners Association, Inc.
&amp;"Arial,Bold"&amp;14 Profit &amp;&amp; Loss
&amp;"Arial,Bold"&amp;10 January through December 2024</oddHeader>
    <oddFooter>&amp;R&amp;"Arial,Bold"&amp;8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Crosby</dc:creator>
  <cp:lastModifiedBy>Thomas Crosby</cp:lastModifiedBy>
  <dcterms:created xsi:type="dcterms:W3CDTF">2026-01-07T14:52:23Z</dcterms:created>
  <dcterms:modified xsi:type="dcterms:W3CDTF">2026-01-07T22:12:51Z</dcterms:modified>
</cp:coreProperties>
</file>